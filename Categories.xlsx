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GetHub\Geoinformatics-Engineering\"/>
    </mc:Choice>
  </mc:AlternateContent>
  <xr:revisionPtr revIDLastSave="0" documentId="13_ncr:1_{113DA556-81A4-46EE-A165-C4080DEF24A8}" xr6:coauthVersionLast="47" xr6:coauthVersionMax="47" xr10:uidLastSave="{00000000-0000-0000-0000-000000000000}"/>
  <bookViews>
    <workbookView xWindow="-108" yWindow="-108" windowWidth="23256" windowHeight="12456" tabRatio="611" firstSheet="1" activeTab="1" xr2:uid="{00000000-000D-0000-FFFF-FFFF00000000}"/>
  </bookViews>
  <sheets>
    <sheet name="UK" sheetId="8" state="hidden" r:id="rId1"/>
    <sheet name="Resources" sheetId="24" r:id="rId2"/>
    <sheet name="Skills" sheetId="10" state="hidden" r:id="rId3"/>
    <sheet name="Sheet2" sheetId="2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8" l="1"/>
</calcChain>
</file>

<file path=xl/sharedStrings.xml><?xml version="1.0" encoding="utf-8"?>
<sst xmlns="http://schemas.openxmlformats.org/spreadsheetml/2006/main" count="127" uniqueCount="126">
  <si>
    <t>fees</t>
  </si>
  <si>
    <t xml:space="preserve">https://practicepteonline.com/cambridge-ielts-1-13-tests/ </t>
  </si>
  <si>
    <t xml:space="preserve">https://www.ieltstestsimulation.com/ </t>
  </si>
  <si>
    <t>Portal</t>
  </si>
  <si>
    <t>University</t>
  </si>
  <si>
    <t>LSBU</t>
  </si>
  <si>
    <t>westminster university</t>
  </si>
  <si>
    <t>Birkbeck, University of London</t>
  </si>
  <si>
    <t>https://my.bbk.ac.uk/ords/f?p=104:1:309354671938708::NO:1::</t>
  </si>
  <si>
    <t xml:space="preserve">https://myportal.northumbria.ac.uk/ </t>
  </si>
  <si>
    <t>Northumbria University</t>
  </si>
  <si>
    <t>University of aberdeen</t>
  </si>
  <si>
    <t>https://www.abdn.ac.uk/pgap/login.php</t>
  </si>
  <si>
    <t>https://my.newman.ac.uk/urd/sits.urd/run/siw_ipp_lgn.login?process=siw_ipp_app&amp;code1=MSS1DATA1NWFA&amp;code2=0020</t>
  </si>
  <si>
    <t>birmingham newman university</t>
  </si>
  <si>
    <t>IELTS</t>
  </si>
  <si>
    <t>UCB</t>
  </si>
  <si>
    <t>Life fees</t>
  </si>
  <si>
    <t>NHS</t>
  </si>
  <si>
    <t>1000 GBP</t>
  </si>
  <si>
    <t xml:space="preserve">Technical </t>
  </si>
  <si>
    <t>Programming Languages</t>
  </si>
  <si>
    <t>Python (most commonly required)</t>
  </si>
  <si>
    <t>R (for statistical analysis)</t>
  </si>
  <si>
    <t>SQL (for database querying)</t>
  </si>
  <si>
    <t>Scala/Java (for big data processing)</t>
  </si>
  <si>
    <t>ML &amp; AI</t>
  </si>
  <si>
    <t>Supervised and unsupervised learning</t>
  </si>
  <si>
    <t>Deep learning (e.g., TensorFlow, PyTorch)</t>
  </si>
  <si>
    <t>Natural Language Processing (NLP)</t>
  </si>
  <si>
    <t>Reinforcement learning)</t>
  </si>
  <si>
    <t xml:space="preserve">Data Visualization </t>
  </si>
  <si>
    <t>Tools: Tableau, Power BI, Matplotlib, Seaborn, ggplot2</t>
  </si>
  <si>
    <t>Storytelling with data to communicate insights effectively.</t>
  </si>
  <si>
    <t>Big Data Technologies</t>
  </si>
  <si>
    <t>Hadoop, Spark, and Hive</t>
  </si>
  <si>
    <t>Cloud platforms: AWS, Azure, Google Cloud</t>
  </si>
  <si>
    <t>Data lakes and data warehouses</t>
  </si>
  <si>
    <t>Statistical Analysis</t>
  </si>
  <si>
    <t>Hypothesis testing</t>
  </si>
  <si>
    <t>Regression analysis</t>
  </si>
  <si>
    <t>Time series analysis</t>
  </si>
  <si>
    <t>Bayesian statistics</t>
  </si>
  <si>
    <t>ETL (Extract, Transform, Load) processes</t>
  </si>
  <si>
    <t>Data pipelines</t>
  </si>
  <si>
    <t>Data cleaning and preprocessing</t>
  </si>
  <si>
    <t>Data Engineering</t>
  </si>
  <si>
    <t>Database Management</t>
  </si>
  <si>
    <t>SQL and NoSQL databases (e.g., MongoDB, Cassandra)</t>
  </si>
  <si>
    <t>Database optimization and indexing</t>
  </si>
  <si>
    <t>Software Development</t>
  </si>
  <si>
    <t>Version control (Git)</t>
  </si>
  <si>
    <t>Agile methodologies</t>
  </si>
  <si>
    <t>API development and integration</t>
  </si>
  <si>
    <t>Skills</t>
  </si>
  <si>
    <t>Problem-Solving</t>
  </si>
  <si>
    <t>Ability to break down complex business problems into data-driven solutions</t>
  </si>
  <si>
    <t>Critical Thinking</t>
  </si>
  <si>
    <t>Evaluating data quality and interpreting results accurately.</t>
  </si>
  <si>
    <t>Quantitative Analysis</t>
  </si>
  <si>
    <t>Strong mathematical foundation for modeling and analysis.</t>
  </si>
  <si>
    <t>Experimental Design</t>
  </si>
  <si>
    <t>Designing A/B tests and experiments to validate hypotheses.</t>
  </si>
  <si>
    <t>Business</t>
  </si>
  <si>
    <t>Analytical</t>
  </si>
  <si>
    <t>Domain Knowledge</t>
  </si>
  <si>
    <t>Understanding of industry-specific challenges (e.g., finance, healthcare, retail).</t>
  </si>
  <si>
    <t>Communication</t>
  </si>
  <si>
    <t>Writing clear and concise reports.</t>
  </si>
  <si>
    <t>Presenting technical findings to non-technical stakeholders.</t>
  </si>
  <si>
    <t>Collaboration</t>
  </si>
  <si>
    <t>Working with cross-functional teams (e.g., engineers, business analysts).</t>
  </si>
  <si>
    <t>Project Management</t>
  </si>
  <si>
    <t>Managing timelines, deliverables, and client expectations</t>
  </si>
  <si>
    <t>Ethics and Compliance</t>
  </si>
  <si>
    <t>Ensuring data privacy and compliance with regulations (e.g., GDPR).</t>
  </si>
  <si>
    <t>Soft</t>
  </si>
  <si>
    <t>Curiosity</t>
  </si>
  <si>
    <t>A passion for exploring data and uncovering insights</t>
  </si>
  <si>
    <t>Adaptability</t>
  </si>
  <si>
    <t>Ability to work in fast-paced, dynamic environments.</t>
  </si>
  <si>
    <t>Attention to Detail</t>
  </si>
  <si>
    <t>Ensuring accuracy in data analysis and reporting</t>
  </si>
  <si>
    <t>Leadership</t>
  </si>
  <si>
    <t>Leading data science projects and mentoring junior team members.</t>
  </si>
  <si>
    <t>Total</t>
  </si>
  <si>
    <t>10201 GBP</t>
  </si>
  <si>
    <t>3400GBP</t>
  </si>
  <si>
    <t>Visa Fees</t>
  </si>
  <si>
    <t>500 GBP</t>
  </si>
  <si>
    <t>3500 USD</t>
  </si>
  <si>
    <t>Equipments</t>
  </si>
  <si>
    <t>vitamin D</t>
  </si>
  <si>
    <t>bidet</t>
  </si>
  <si>
    <t>Obligations</t>
  </si>
  <si>
    <t>SIM card</t>
  </si>
  <si>
    <t>Accommodation</t>
  </si>
  <si>
    <t>HSPC account</t>
  </si>
  <si>
    <t>https://www.theguardian.com/education/ng-interactive/2021/sep/11/best-uk-universities-for-medicine-league-table</t>
  </si>
  <si>
    <t xml:space="preserve">List of universities </t>
  </si>
  <si>
    <t xml:space="preserve">thought in paying 50 pounds every day </t>
  </si>
  <si>
    <t>visa requierments</t>
  </si>
  <si>
    <t>https://www.gre.ac.uk/visa/before-you-arrive/demonstrate-your-finances#:~:text=The%20funds%20in%20your%20bank,you%20submit%20your%20visa%20application.</t>
  </si>
  <si>
    <t>pens bos (ROTO)</t>
  </si>
  <si>
    <t>—</t>
  </si>
  <si>
    <t>المؤشر</t>
  </si>
  <si>
    <t>القيمة</t>
  </si>
  <si>
    <t>نسبة التغيير</t>
  </si>
  <si>
    <t>التفسير</t>
  </si>
  <si>
    <t>👥 عدد المستخدمين (Active Users)</t>
  </si>
  <si>
    <t>نمو كبير جدًا في عدد الزوار</t>
  </si>
  <si>
    <t>🆕 المستخدمين الجدد (New Users)</t>
  </si>
  <si>
    <t>اكتساب قوي لزوار جدد</t>
  </si>
  <si>
    <t>⚡ عدد التفاعلات (Event Count)</t>
  </si>
  <si>
    <t>4.3K</t>
  </si>
  <si>
    <t>زيادة واضحة في تفاعل المستخدمين</t>
  </si>
  <si>
    <t>👁️ عدد المشاهدات (Views)</t>
  </si>
  <si>
    <t>عدد مشاهدات منخفض نسبيًا</t>
  </si>
  <si>
    <t>Data collections</t>
  </si>
  <si>
    <t xml:space="preserve">https://www.sentinel-hub.com/ </t>
  </si>
  <si>
    <t>Copernicus Data Space Ecosystem</t>
  </si>
  <si>
    <t>Google Earth Engine (GEE)</t>
  </si>
  <si>
    <t>Element 84 Earth Search</t>
  </si>
  <si>
    <t>NASA Earthdata</t>
  </si>
  <si>
    <t>Planet Labs</t>
  </si>
  <si>
    <t>Maxar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</si>
</sst>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/>
    <xf numFmtId="0" fontId="3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" fontId="11" fillId="0" borderId="0" xfId="0" applyNumberFormat="1" applyFont="1" applyAlignment="1">
      <alignment horizontal="center" vertical="center" wrapText="1"/>
    </xf>
    <xf numFmtId="16" fontId="9" fillId="0" borderId="0" xfId="0" applyNumberFormat="1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eltstestsimulation.com/" TargetMode="External"/><Relationship Id="rId3" Type="http://schemas.openxmlformats.org/officeDocument/2006/relationships/hyperlink" Target="https://www.abdn.ac.uk/pgap/login.php" TargetMode="External"/><Relationship Id="rId7" Type="http://schemas.openxmlformats.org/officeDocument/2006/relationships/hyperlink" Target="https://practicepteonline.com/cambridge-ielts-1-13-tests/" TargetMode="External"/><Relationship Id="rId2" Type="http://schemas.openxmlformats.org/officeDocument/2006/relationships/hyperlink" Target="https://myportal.northumbria.ac.uk/" TargetMode="External"/><Relationship Id="rId1" Type="http://schemas.openxmlformats.org/officeDocument/2006/relationships/hyperlink" Target="https://my.bbk.ac.uk/ords/f?p=104:1:309354671938708::NO:1::" TargetMode="External"/><Relationship Id="rId6" Type="http://schemas.openxmlformats.org/officeDocument/2006/relationships/hyperlink" Target="https://www.gre.ac.uk/visa/before-you-arrive/demonstrate-your-finances" TargetMode="External"/><Relationship Id="rId5" Type="http://schemas.openxmlformats.org/officeDocument/2006/relationships/hyperlink" Target="https://www.theguardian.com/education/ng-interactive/2021/sep/11/best-uk-universities-for-medicine-league-table" TargetMode="External"/><Relationship Id="rId4" Type="http://schemas.openxmlformats.org/officeDocument/2006/relationships/hyperlink" Target="https://my.newman.ac.uk/urd/sits.urd/run/siw_ipp_lgn.login?process=siw_ipp_app&amp;code1=MSS1DATA1NWFA&amp;code2=0020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lement84.com/earth-search/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ataspace.copernicus.eu/" TargetMode="External"/><Relationship Id="rId1" Type="http://schemas.openxmlformats.org/officeDocument/2006/relationships/hyperlink" Target="https://www.sentinel-hub.com/" TargetMode="External"/><Relationship Id="rId6" Type="http://schemas.openxmlformats.org/officeDocument/2006/relationships/hyperlink" Target="https://vantor.com/" TargetMode="External"/><Relationship Id="rId5" Type="http://schemas.openxmlformats.org/officeDocument/2006/relationships/hyperlink" Target="https://www.planet.com/" TargetMode="External"/><Relationship Id="rId4" Type="http://schemas.openxmlformats.org/officeDocument/2006/relationships/hyperlink" Target="https://www.earthdata.nasa.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5"/>
  <sheetViews>
    <sheetView topLeftCell="K1" workbookViewId="0">
      <selection activeCell="R12" sqref="R12"/>
    </sheetView>
  </sheetViews>
  <sheetFormatPr defaultColWidth="8.88671875" defaultRowHeight="16.8" customHeight="1" x14ac:dyDescent="0.3"/>
  <cols>
    <col min="1" max="1" width="28.44140625" style="5" customWidth="1"/>
    <col min="2" max="2" width="60.33203125" style="5" customWidth="1"/>
    <col min="3" max="10" width="8.88671875" style="5"/>
    <col min="11" max="11" width="20.21875" style="11" customWidth="1"/>
    <col min="12" max="12" width="8.88671875" style="5"/>
    <col min="13" max="13" width="14.33203125" style="5" customWidth="1"/>
    <col min="14" max="17" width="8.88671875" style="5"/>
    <col min="18" max="18" width="34.44140625" style="5" customWidth="1"/>
    <col min="19" max="21" width="8.88671875" style="5"/>
    <col min="22" max="22" width="13.21875" style="5" customWidth="1"/>
    <col min="23" max="16384" width="8.88671875" style="5"/>
  </cols>
  <sheetData>
    <row r="1" spans="1:24" s="9" customFormat="1" ht="16.8" customHeight="1" x14ac:dyDescent="0.3">
      <c r="A1" s="9" t="s">
        <v>4</v>
      </c>
      <c r="B1" s="9" t="s">
        <v>3</v>
      </c>
      <c r="C1" s="9" t="s">
        <v>0</v>
      </c>
      <c r="K1" s="10"/>
      <c r="U1" s="12"/>
      <c r="V1" s="12"/>
      <c r="W1" s="12"/>
      <c r="X1" s="12"/>
    </row>
    <row r="2" spans="1:24" ht="16.8" customHeight="1" x14ac:dyDescent="0.3">
      <c r="A2" s="5" t="s">
        <v>5</v>
      </c>
      <c r="K2" s="10" t="s">
        <v>91</v>
      </c>
      <c r="M2" s="24" t="s">
        <v>94</v>
      </c>
      <c r="N2" s="24"/>
      <c r="O2" s="5" t="s">
        <v>85</v>
      </c>
      <c r="R2" s="5" t="s">
        <v>101</v>
      </c>
      <c r="U2" s="25" t="s">
        <v>100</v>
      </c>
      <c r="V2" s="25"/>
      <c r="W2" s="25"/>
      <c r="X2" s="14"/>
    </row>
    <row r="3" spans="1:24" ht="16.8" customHeight="1" x14ac:dyDescent="0.3">
      <c r="A3" s="5" t="s">
        <v>6</v>
      </c>
      <c r="K3" s="11" t="s">
        <v>92</v>
      </c>
      <c r="M3" s="5" t="s">
        <v>96</v>
      </c>
      <c r="N3" s="5">
        <v>500</v>
      </c>
      <c r="O3" s="5">
        <f>SUM(N3:N100)</f>
        <v>1532</v>
      </c>
      <c r="R3" s="3" t="s">
        <v>102</v>
      </c>
      <c r="U3" s="13"/>
      <c r="V3" s="13"/>
      <c r="W3" s="13"/>
      <c r="X3" s="14"/>
    </row>
    <row r="4" spans="1:24" ht="16.8" customHeight="1" x14ac:dyDescent="0.3">
      <c r="A4" s="5" t="s">
        <v>10</v>
      </c>
      <c r="B4" s="3" t="s">
        <v>9</v>
      </c>
      <c r="K4" s="11" t="s">
        <v>93</v>
      </c>
      <c r="M4" s="5" t="s">
        <v>95</v>
      </c>
      <c r="N4" s="5">
        <v>32</v>
      </c>
      <c r="U4" s="15" t="s">
        <v>15</v>
      </c>
      <c r="V4" s="16">
        <v>45793</v>
      </c>
      <c r="W4" s="17"/>
      <c r="X4" s="7" t="s">
        <v>1</v>
      </c>
    </row>
    <row r="5" spans="1:24" ht="16.8" customHeight="1" x14ac:dyDescent="0.3">
      <c r="A5" s="5" t="s">
        <v>7</v>
      </c>
      <c r="B5" s="3" t="s">
        <v>8</v>
      </c>
      <c r="C5" s="5">
        <v>20340</v>
      </c>
      <c r="K5" s="11" t="s">
        <v>103</v>
      </c>
      <c r="M5" s="5" t="s">
        <v>97</v>
      </c>
      <c r="N5" s="5">
        <v>1000</v>
      </c>
      <c r="U5" s="26" t="s">
        <v>16</v>
      </c>
      <c r="V5" s="16">
        <v>45809</v>
      </c>
      <c r="W5" s="13"/>
      <c r="X5" s="7" t="s">
        <v>2</v>
      </c>
    </row>
    <row r="6" spans="1:24" ht="16.8" customHeight="1" x14ac:dyDescent="0.3">
      <c r="A6" s="5" t="s">
        <v>11</v>
      </c>
      <c r="B6" s="3" t="s">
        <v>12</v>
      </c>
      <c r="U6" s="26"/>
      <c r="V6" s="13" t="s">
        <v>86</v>
      </c>
      <c r="W6" s="13"/>
      <c r="X6" s="14"/>
    </row>
    <row r="7" spans="1:24" ht="16.8" customHeight="1" x14ac:dyDescent="0.3">
      <c r="A7" s="5" t="s">
        <v>14</v>
      </c>
      <c r="B7" s="3" t="s">
        <v>13</v>
      </c>
      <c r="U7" s="26"/>
      <c r="V7" s="16">
        <v>45991</v>
      </c>
      <c r="W7" s="13"/>
      <c r="X7" s="14"/>
    </row>
    <row r="8" spans="1:24" ht="16.8" customHeight="1" x14ac:dyDescent="0.3">
      <c r="U8" s="26"/>
      <c r="V8" s="13" t="s">
        <v>87</v>
      </c>
      <c r="W8" s="13"/>
      <c r="X8" s="14"/>
    </row>
    <row r="9" spans="1:24" ht="16.8" customHeight="1" x14ac:dyDescent="0.3">
      <c r="U9" s="26"/>
      <c r="V9" s="16">
        <v>45716</v>
      </c>
      <c r="W9" s="13"/>
      <c r="X9" s="14"/>
    </row>
    <row r="10" spans="1:24" ht="16.8" customHeight="1" x14ac:dyDescent="0.3">
      <c r="U10" s="26"/>
      <c r="V10" s="13" t="s">
        <v>87</v>
      </c>
      <c r="W10" s="13"/>
      <c r="X10" s="14"/>
    </row>
    <row r="11" spans="1:24" ht="16.8" customHeight="1" x14ac:dyDescent="0.3">
      <c r="U11" s="13" t="s">
        <v>88</v>
      </c>
      <c r="V11" s="13" t="s">
        <v>89</v>
      </c>
      <c r="W11" s="13"/>
      <c r="X11" s="14"/>
    </row>
    <row r="12" spans="1:24" ht="16.8" customHeight="1" x14ac:dyDescent="0.3">
      <c r="A12" s="5" t="s">
        <v>99</v>
      </c>
      <c r="B12" s="3" t="s">
        <v>98</v>
      </c>
      <c r="U12" s="15" t="s">
        <v>18</v>
      </c>
      <c r="V12" s="18" t="s">
        <v>19</v>
      </c>
      <c r="W12" s="13"/>
      <c r="X12" s="14"/>
    </row>
    <row r="13" spans="1:24" ht="16.8" customHeight="1" x14ac:dyDescent="0.3">
      <c r="U13" s="13"/>
      <c r="V13" s="13"/>
      <c r="W13" s="13"/>
      <c r="X13" s="14"/>
    </row>
    <row r="14" spans="1:24" ht="16.8" customHeight="1" x14ac:dyDescent="0.3">
      <c r="U14" s="15" t="s">
        <v>17</v>
      </c>
      <c r="V14" s="13" t="s">
        <v>90</v>
      </c>
      <c r="W14" s="13"/>
      <c r="X14" s="14"/>
    </row>
    <row r="15" spans="1:24" ht="16.8" customHeight="1" x14ac:dyDescent="0.3">
      <c r="U15" s="14"/>
      <c r="V15" s="14"/>
      <c r="W15" s="14"/>
      <c r="X15" s="14"/>
    </row>
  </sheetData>
  <mergeCells count="3">
    <mergeCell ref="M2:N2"/>
    <mergeCell ref="U2:W2"/>
    <mergeCell ref="U5:U10"/>
  </mergeCells>
  <hyperlinks>
    <hyperlink ref="B5" r:id="rId1" xr:uid="{00000000-0004-0000-0200-000000000000}"/>
    <hyperlink ref="B4" r:id="rId2" xr:uid="{00000000-0004-0000-0200-000001000000}"/>
    <hyperlink ref="B6" r:id="rId3" xr:uid="{00000000-0004-0000-0200-000002000000}"/>
    <hyperlink ref="B7" r:id="rId4" xr:uid="{00000000-0004-0000-0200-000003000000}"/>
    <hyperlink ref="B12" r:id="rId5" xr:uid="{00000000-0004-0000-0200-000004000000}"/>
    <hyperlink ref="R3" r:id="rId6" location=":~:text=The%20funds%20in%20your%20bank,you%20submit%20your%20visa%20application." xr:uid="{00000000-0004-0000-0200-000005000000}"/>
    <hyperlink ref="X4" r:id="rId7" xr:uid="{00000000-0004-0000-0200-000006000000}"/>
    <hyperlink ref="X5" r:id="rId8" xr:uid="{00000000-0004-0000-0200-000007000000}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41A8-96D6-470D-8824-C48B726C10C5}">
  <dimension ref="B2:B9"/>
  <sheetViews>
    <sheetView tabSelected="1" workbookViewId="0">
      <selection activeCell="B9" sqref="B9"/>
    </sheetView>
  </sheetViews>
  <sheetFormatPr defaultRowHeight="14.4" x14ac:dyDescent="0.3"/>
  <cols>
    <col min="1" max="1" width="17.21875" style="1" customWidth="1"/>
    <col min="2" max="2" width="33.77734375" style="1" customWidth="1"/>
    <col min="3" max="16384" width="8.88671875" style="1"/>
  </cols>
  <sheetData>
    <row r="2" spans="2:2" x14ac:dyDescent="0.3">
      <c r="B2" s="1" t="s">
        <v>118</v>
      </c>
    </row>
    <row r="3" spans="2:2" x14ac:dyDescent="0.3">
      <c r="B3" s="20" t="s">
        <v>119</v>
      </c>
    </row>
    <row r="4" spans="2:2" x14ac:dyDescent="0.3">
      <c r="B4" s="20" t="s">
        <v>120</v>
      </c>
    </row>
    <row r="5" spans="2:2" x14ac:dyDescent="0.3">
      <c r="B5" s="29" t="s">
        <v>121</v>
      </c>
    </row>
    <row r="6" spans="2:2" x14ac:dyDescent="0.3">
      <c r="B6" s="20" t="s">
        <v>122</v>
      </c>
    </row>
    <row r="7" spans="2:2" x14ac:dyDescent="0.3">
      <c r="B7" s="20" t="s">
        <v>123</v>
      </c>
    </row>
    <row r="8" spans="2:2" x14ac:dyDescent="0.3">
      <c r="B8" s="20" t="s">
        <v>124</v>
      </c>
    </row>
    <row r="9" spans="2:2" x14ac:dyDescent="0.3">
      <c r="B9" s="20" t="s">
        <v>125</v>
      </c>
    </row>
  </sheetData>
  <hyperlinks>
    <hyperlink ref="B3" r:id="rId1" xr:uid="{E5626342-BAA6-4BDA-B2F7-BA7048E91FCB}"/>
    <hyperlink ref="B4" r:id="rId2" xr:uid="{5026E078-5B87-4183-8F03-1434F25FC69A}"/>
    <hyperlink ref="B6" r:id="rId3" xr:uid="{849FFC9A-AF57-4422-9CDF-073167967E32}"/>
    <hyperlink ref="B7" r:id="rId4" xr:uid="{7164147B-62B7-4BAF-839F-2C4292D33692}"/>
    <hyperlink ref="B8" r:id="rId5" xr:uid="{E63D02F8-2B58-43A9-B44C-DDCB3E1B05E2}"/>
    <hyperlink ref="B9" r:id="rId6" xr:uid="{2BB4837A-1628-4E58-B86E-86CAC0DAFA0D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25"/>
  <sheetViews>
    <sheetView zoomScale="77" zoomScaleNormal="85" workbookViewId="0">
      <selection activeCell="C26" sqref="C26"/>
    </sheetView>
  </sheetViews>
  <sheetFormatPr defaultColWidth="8.88671875" defaultRowHeight="24.6" customHeight="1" x14ac:dyDescent="0.3"/>
  <cols>
    <col min="1" max="1" width="8.88671875" style="6"/>
    <col min="2" max="2" width="19" style="2" customWidth="1"/>
    <col min="3" max="3" width="29.44140625" style="6" customWidth="1"/>
    <col min="4" max="4" width="36" style="6" customWidth="1"/>
    <col min="5" max="5" width="33.77734375" style="6" customWidth="1"/>
    <col min="6" max="6" width="31.109375" style="6" customWidth="1"/>
    <col min="7" max="7" width="26.44140625" style="6" customWidth="1"/>
    <col min="8" max="8" width="24.21875" style="6" customWidth="1"/>
    <col min="9" max="9" width="37.21875" style="6" customWidth="1"/>
    <col min="10" max="10" width="28.33203125" style="6" customWidth="1"/>
    <col min="11" max="16384" width="8.88671875" style="6"/>
  </cols>
  <sheetData>
    <row r="2" spans="2:6" ht="24.6" customHeight="1" x14ac:dyDescent="0.3">
      <c r="B2" s="2" t="s">
        <v>54</v>
      </c>
    </row>
    <row r="3" spans="2:6" s="4" customFormat="1" ht="24.6" customHeight="1" x14ac:dyDescent="0.3">
      <c r="B3" s="28" t="s">
        <v>20</v>
      </c>
      <c r="C3" s="4" t="s">
        <v>21</v>
      </c>
      <c r="D3" s="4" t="s">
        <v>26</v>
      </c>
      <c r="E3" s="4" t="s">
        <v>31</v>
      </c>
      <c r="F3" s="4" t="s">
        <v>34</v>
      </c>
    </row>
    <row r="4" spans="2:6" ht="40.200000000000003" customHeight="1" x14ac:dyDescent="0.3">
      <c r="B4" s="28"/>
      <c r="C4" s="6" t="s">
        <v>22</v>
      </c>
      <c r="D4" s="6" t="s">
        <v>27</v>
      </c>
      <c r="E4" s="6" t="s">
        <v>32</v>
      </c>
      <c r="F4" s="6" t="s">
        <v>35</v>
      </c>
    </row>
    <row r="5" spans="2:6" ht="39" customHeight="1" x14ac:dyDescent="0.3">
      <c r="B5" s="28"/>
      <c r="C5" s="6" t="s">
        <v>23</v>
      </c>
      <c r="D5" s="6" t="s">
        <v>28</v>
      </c>
      <c r="E5" s="6" t="s">
        <v>33</v>
      </c>
      <c r="F5" s="27" t="s">
        <v>36</v>
      </c>
    </row>
    <row r="6" spans="2:6" ht="33.6" customHeight="1" x14ac:dyDescent="0.3">
      <c r="B6" s="28"/>
      <c r="C6" s="6" t="s">
        <v>24</v>
      </c>
      <c r="D6" s="6" t="s">
        <v>29</v>
      </c>
      <c r="F6" s="27"/>
    </row>
    <row r="7" spans="2:6" ht="33.6" customHeight="1" x14ac:dyDescent="0.3">
      <c r="B7" s="28"/>
      <c r="C7" s="6" t="s">
        <v>25</v>
      </c>
      <c r="D7" s="6" t="s">
        <v>30</v>
      </c>
      <c r="F7" s="6" t="s">
        <v>37</v>
      </c>
    </row>
    <row r="8" spans="2:6" ht="33.6" customHeight="1" x14ac:dyDescent="0.3">
      <c r="B8" s="28"/>
    </row>
    <row r="9" spans="2:6" ht="33.6" customHeight="1" x14ac:dyDescent="0.3">
      <c r="B9" s="28"/>
      <c r="C9" s="4" t="s">
        <v>38</v>
      </c>
      <c r="D9" s="4" t="s">
        <v>46</v>
      </c>
      <c r="E9" s="4" t="s">
        <v>47</v>
      </c>
      <c r="F9" s="4" t="s">
        <v>50</v>
      </c>
    </row>
    <row r="10" spans="2:6" ht="33.6" customHeight="1" x14ac:dyDescent="0.3">
      <c r="B10" s="28"/>
      <c r="C10" s="6" t="s">
        <v>39</v>
      </c>
      <c r="D10" s="6" t="s">
        <v>43</v>
      </c>
      <c r="E10" s="6" t="s">
        <v>48</v>
      </c>
      <c r="F10" s="6" t="s">
        <v>51</v>
      </c>
    </row>
    <row r="11" spans="2:6" ht="33.6" customHeight="1" x14ac:dyDescent="0.3">
      <c r="B11" s="28"/>
      <c r="C11" s="6" t="s">
        <v>40</v>
      </c>
      <c r="D11" s="6" t="s">
        <v>44</v>
      </c>
      <c r="E11" s="6" t="s">
        <v>49</v>
      </c>
      <c r="F11" s="6" t="s">
        <v>52</v>
      </c>
    </row>
    <row r="12" spans="2:6" ht="33.6" customHeight="1" x14ac:dyDescent="0.3">
      <c r="B12" s="28"/>
      <c r="C12" s="6" t="s">
        <v>41</v>
      </c>
      <c r="D12" s="6" t="s">
        <v>45</v>
      </c>
      <c r="F12" s="6" t="s">
        <v>53</v>
      </c>
    </row>
    <row r="13" spans="2:6" ht="24.6" customHeight="1" x14ac:dyDescent="0.3">
      <c r="B13" s="28"/>
      <c r="C13" s="6" t="s">
        <v>42</v>
      </c>
    </row>
    <row r="14" spans="2:6" ht="24.6" customHeight="1" x14ac:dyDescent="0.3">
      <c r="B14" s="8"/>
    </row>
    <row r="15" spans="2:6" s="4" customFormat="1" ht="24.6" customHeight="1" x14ac:dyDescent="0.3">
      <c r="B15" s="28" t="s">
        <v>64</v>
      </c>
      <c r="C15" s="4" t="s">
        <v>55</v>
      </c>
      <c r="D15" s="4" t="s">
        <v>57</v>
      </c>
      <c r="E15" s="4" t="s">
        <v>59</v>
      </c>
      <c r="F15" s="4" t="s">
        <v>61</v>
      </c>
    </row>
    <row r="16" spans="2:6" ht="24.6" customHeight="1" x14ac:dyDescent="0.3">
      <c r="B16" s="28"/>
      <c r="C16" s="27" t="s">
        <v>56</v>
      </c>
      <c r="D16" s="27" t="s">
        <v>58</v>
      </c>
      <c r="E16" s="27" t="s">
        <v>60</v>
      </c>
      <c r="F16" s="27" t="s">
        <v>62</v>
      </c>
    </row>
    <row r="17" spans="2:7" ht="24.6" customHeight="1" x14ac:dyDescent="0.3">
      <c r="B17" s="28"/>
      <c r="C17" s="27"/>
      <c r="D17" s="27"/>
      <c r="E17" s="27"/>
      <c r="F17" s="27"/>
    </row>
    <row r="18" spans="2:7" ht="24.6" customHeight="1" x14ac:dyDescent="0.3">
      <c r="B18" s="8"/>
    </row>
    <row r="19" spans="2:7" s="4" customFormat="1" ht="24.6" customHeight="1" x14ac:dyDescent="0.3">
      <c r="B19" s="28" t="s">
        <v>63</v>
      </c>
      <c r="C19" s="4" t="s">
        <v>65</v>
      </c>
      <c r="D19" s="4" t="s">
        <v>67</v>
      </c>
      <c r="E19" s="4" t="s">
        <v>70</v>
      </c>
      <c r="F19" s="4" t="s">
        <v>72</v>
      </c>
      <c r="G19" s="4" t="s">
        <v>74</v>
      </c>
    </row>
    <row r="20" spans="2:7" ht="33.6" customHeight="1" x14ac:dyDescent="0.3">
      <c r="B20" s="28"/>
      <c r="C20" s="27" t="s">
        <v>66</v>
      </c>
      <c r="D20" s="6" t="s">
        <v>69</v>
      </c>
      <c r="E20" s="27" t="s">
        <v>71</v>
      </c>
      <c r="F20" s="27" t="s">
        <v>73</v>
      </c>
      <c r="G20" s="27" t="s">
        <v>75</v>
      </c>
    </row>
    <row r="21" spans="2:7" ht="24.6" customHeight="1" x14ac:dyDescent="0.3">
      <c r="B21" s="28"/>
      <c r="C21" s="27"/>
      <c r="D21" s="6" t="s">
        <v>68</v>
      </c>
      <c r="E21" s="27"/>
      <c r="F21" s="27"/>
      <c r="G21" s="27"/>
    </row>
    <row r="22" spans="2:7" ht="24.6" customHeight="1" x14ac:dyDescent="0.3">
      <c r="B22" s="8"/>
    </row>
    <row r="23" spans="2:7" s="4" customFormat="1" ht="24.6" customHeight="1" x14ac:dyDescent="0.3">
      <c r="B23" s="28" t="s">
        <v>76</v>
      </c>
      <c r="C23" s="4" t="s">
        <v>77</v>
      </c>
      <c r="D23" s="4" t="s">
        <v>79</v>
      </c>
      <c r="E23" s="4" t="s">
        <v>81</v>
      </c>
      <c r="F23" s="4" t="s">
        <v>83</v>
      </c>
    </row>
    <row r="24" spans="2:7" ht="24.6" customHeight="1" x14ac:dyDescent="0.3">
      <c r="B24" s="28"/>
      <c r="C24" s="27" t="s">
        <v>78</v>
      </c>
      <c r="D24" s="27" t="s">
        <v>80</v>
      </c>
      <c r="E24" s="27" t="s">
        <v>82</v>
      </c>
      <c r="F24" s="27" t="s">
        <v>84</v>
      </c>
    </row>
    <row r="25" spans="2:7" ht="24.6" customHeight="1" x14ac:dyDescent="0.3">
      <c r="B25" s="28"/>
      <c r="C25" s="27"/>
      <c r="D25" s="27"/>
      <c r="E25" s="27"/>
      <c r="F25" s="27"/>
    </row>
  </sheetData>
  <mergeCells count="17">
    <mergeCell ref="G20:G21"/>
    <mergeCell ref="F5:F6"/>
    <mergeCell ref="B15:B17"/>
    <mergeCell ref="C16:C17"/>
    <mergeCell ref="D16:D17"/>
    <mergeCell ref="E16:E17"/>
    <mergeCell ref="F16:F17"/>
    <mergeCell ref="B3:B13"/>
    <mergeCell ref="F24:F25"/>
    <mergeCell ref="B19:B21"/>
    <mergeCell ref="C20:C21"/>
    <mergeCell ref="E20:E21"/>
    <mergeCell ref="F20:F21"/>
    <mergeCell ref="C24:C25"/>
    <mergeCell ref="B23:B25"/>
    <mergeCell ref="D24:D25"/>
    <mergeCell ref="E24:E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F6:M13"/>
  <sheetViews>
    <sheetView topLeftCell="D1" workbookViewId="0">
      <selection activeCell="G16" sqref="G16"/>
    </sheetView>
  </sheetViews>
  <sheetFormatPr defaultRowHeight="19.8" customHeight="1" x14ac:dyDescent="0.3"/>
  <cols>
    <col min="1" max="5" width="8.88671875" style="1"/>
    <col min="6" max="6" width="24.77734375" style="1" customWidth="1"/>
    <col min="7" max="7" width="19.44140625" style="1" customWidth="1"/>
    <col min="8" max="10" width="8.88671875" style="1"/>
    <col min="11" max="11" width="11.5546875" style="1" customWidth="1"/>
    <col min="12" max="12" width="33.5546875" style="1" customWidth="1"/>
    <col min="13" max="13" width="23.6640625" style="1" customWidth="1"/>
    <col min="14" max="16384" width="8.88671875" style="1"/>
  </cols>
  <sheetData>
    <row r="6" spans="6:13" ht="19.8" customHeight="1" x14ac:dyDescent="0.3">
      <c r="K6" s="21"/>
      <c r="L6" s="21"/>
      <c r="M6" s="21"/>
    </row>
    <row r="7" spans="6:13" ht="19.8" customHeight="1" x14ac:dyDescent="0.3">
      <c r="K7" s="19"/>
      <c r="L7" s="19"/>
      <c r="M7" s="19"/>
    </row>
    <row r="8" spans="6:13" ht="19.8" customHeight="1" x14ac:dyDescent="0.3">
      <c r="K8" s="19"/>
      <c r="L8" s="19"/>
      <c r="M8" s="19"/>
    </row>
    <row r="9" spans="6:13" ht="19.8" customHeight="1" x14ac:dyDescent="0.3">
      <c r="F9" s="9" t="s">
        <v>105</v>
      </c>
      <c r="G9" s="9" t="s">
        <v>106</v>
      </c>
      <c r="H9" s="9" t="s">
        <v>107</v>
      </c>
      <c r="I9" s="9" t="s">
        <v>108</v>
      </c>
      <c r="K9" s="19"/>
      <c r="L9" s="19"/>
      <c r="M9" s="19"/>
    </row>
    <row r="10" spans="6:13" ht="19.8" customHeight="1" x14ac:dyDescent="0.3">
      <c r="F10" s="22" t="s">
        <v>109</v>
      </c>
      <c r="G10" s="22">
        <v>323</v>
      </c>
      <c r="H10" s="23">
        <v>3.5489999999999999</v>
      </c>
      <c r="I10" s="22" t="s">
        <v>110</v>
      </c>
      <c r="K10" s="19"/>
      <c r="L10" s="19"/>
      <c r="M10" s="19"/>
    </row>
    <row r="11" spans="6:13" ht="19.8" customHeight="1" x14ac:dyDescent="0.3">
      <c r="F11" s="22" t="s">
        <v>111</v>
      </c>
      <c r="G11" s="22">
        <v>305</v>
      </c>
      <c r="H11" s="23">
        <v>3.2959999999999998</v>
      </c>
      <c r="I11" s="22" t="s">
        <v>112</v>
      </c>
      <c r="K11" s="19"/>
      <c r="L11" s="19"/>
      <c r="M11" s="19"/>
    </row>
    <row r="12" spans="6:13" ht="19.8" customHeight="1" x14ac:dyDescent="0.3">
      <c r="F12" s="22" t="s">
        <v>113</v>
      </c>
      <c r="G12" s="22" t="s">
        <v>114</v>
      </c>
      <c r="H12" s="23">
        <v>3.1070000000000002</v>
      </c>
      <c r="I12" s="22" t="s">
        <v>115</v>
      </c>
    </row>
    <row r="13" spans="6:13" ht="19.8" customHeight="1" x14ac:dyDescent="0.3">
      <c r="F13" s="22" t="s">
        <v>116</v>
      </c>
      <c r="G13" s="22">
        <v>105</v>
      </c>
      <c r="H13" s="22" t="s">
        <v>104</v>
      </c>
      <c r="I13" s="22" t="s">
        <v>117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Resources</vt:lpstr>
      <vt:lpstr>Skills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Barakat</dc:creator>
  <cp:lastModifiedBy>Osama Mohamed Abdelmaniem Alawadi Elsaeed</cp:lastModifiedBy>
  <cp:lastPrinted>2024-01-25T09:44:28Z</cp:lastPrinted>
  <dcterms:created xsi:type="dcterms:W3CDTF">2023-08-25T16:12:25Z</dcterms:created>
  <dcterms:modified xsi:type="dcterms:W3CDTF">2026-07-28T19:56:53Z</dcterms:modified>
</cp:coreProperties>
</file>